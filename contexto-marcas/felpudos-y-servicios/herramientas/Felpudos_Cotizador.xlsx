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Base" sheetId="1" state="visible" r:id="rId1"/>
    <sheet xmlns:r="http://schemas.openxmlformats.org/officeDocument/2006/relationships" name="Cotizador" sheetId="2" state="visible" r:id="rId2"/>
    <sheet xmlns:r="http://schemas.openxmlformats.org/officeDocument/2006/relationships" name="Notas y Supue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S/&quot; 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b val="1"/>
      <color rgb="00000000"/>
    </font>
    <font>
      <name val="Arial"/>
      <color rgb="00000000"/>
    </font>
    <font>
      <name val="Arial"/>
      <color rgb="000000FF"/>
    </font>
  </fonts>
  <fills count="6">
    <fill>
      <patternFill/>
    </fill>
    <fill>
      <patternFill patternType="gray125"/>
    </fill>
    <fill>
      <patternFill patternType="solid">
        <fgColor rgb="00005E7D"/>
      </patternFill>
    </fill>
    <fill>
      <patternFill patternType="solid">
        <fgColor rgb="003F451E"/>
      </patternFill>
    </fill>
    <fill>
      <patternFill patternType="solid">
        <fgColor rgb="00FFFF00"/>
      </patternFill>
    </fill>
    <fill>
      <patternFill patternType="solid">
        <fgColor rgb="00F5CD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4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2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6" customWidth="1" min="5" max="5"/>
    <col width="20" customWidth="1" min="6" max="6"/>
  </cols>
  <sheetData>
    <row r="1" ht="22" customHeight="1">
      <c r="A1" s="1" t="inlineStr">
        <is>
          <t>DATOS BASE DE COSTEO — Felpudos y Servicios</t>
        </is>
      </c>
    </row>
    <row r="2">
      <c r="A2" s="2" t="inlineStr">
        <is>
          <t>Transcrito de notas de costeo manuscritas (fotos compartidas 2026-07-21). Celdas en amarillo/azul = valores base que alimentan las fórmulas del Cotizador. Ver supuestos y alertas en la pestaña 'Notas y Supuestos'.</t>
        </is>
      </c>
    </row>
    <row r="4" ht="18" customHeight="1">
      <c r="A4" s="3" t="inlineStr">
        <is>
          <t>1. FELPUDO DE VINILO CON LOGO (personalizado, marca base Confort Mat)</t>
        </is>
      </c>
    </row>
    <row r="5">
      <c r="A5" s="4" t="inlineStr">
        <is>
          <t>Concepto</t>
        </is>
      </c>
      <c r="B5" s="4" t="inlineStr">
        <is>
          <t>Valor</t>
        </is>
      </c>
      <c r="C5" s="4" t="inlineStr">
        <is>
          <t>Unidad</t>
        </is>
      </c>
    </row>
    <row r="6">
      <c r="A6" s="5" t="inlineStr">
        <is>
          <t>Costo material base</t>
        </is>
      </c>
      <c r="B6" s="6" t="n">
        <v>59.17</v>
      </c>
      <c r="C6" s="5" t="inlineStr">
        <is>
          <t>S//m²</t>
        </is>
      </c>
    </row>
    <row r="7">
      <c r="A7" s="5" t="inlineStr">
        <is>
          <t>Costo material extra (ribete de recorte)</t>
        </is>
      </c>
      <c r="B7" s="6" t="n">
        <v>94.90000000000001</v>
      </c>
      <c r="C7" s="5" t="inlineStr">
        <is>
          <t>S//m</t>
        </is>
      </c>
    </row>
    <row r="8">
      <c r="A8" s="5" t="inlineStr">
        <is>
          <t>Longitud extra si área &lt; 1.00 m²</t>
        </is>
      </c>
      <c r="B8" s="6" t="n">
        <v>0.2</v>
      </c>
      <c r="C8" s="5" t="inlineStr">
        <is>
          <t>m</t>
        </is>
      </c>
    </row>
    <row r="9">
      <c r="A9" s="5" t="inlineStr">
        <is>
          <t>Longitud extra si área ≥ 1.00 m²</t>
        </is>
      </c>
      <c r="B9" s="6" t="n">
        <v>0.3</v>
      </c>
      <c r="C9" s="5" t="inlineStr">
        <is>
          <t>m</t>
        </is>
      </c>
    </row>
    <row r="10">
      <c r="A10" s="5" t="inlineStr">
        <is>
          <t>Mano de obra — componente fijo</t>
        </is>
      </c>
      <c r="B10" s="6" t="n">
        <v>80</v>
      </c>
      <c r="C10" s="5" t="inlineStr">
        <is>
          <t>S/</t>
        </is>
      </c>
    </row>
    <row r="11">
      <c r="A11" s="5" t="inlineStr">
        <is>
          <t>Mano de obra — componente variable</t>
        </is>
      </c>
      <c r="B11" s="6" t="n">
        <v>37.04</v>
      </c>
      <c r="C11" s="5" t="inlineStr">
        <is>
          <t>S//m²</t>
        </is>
      </c>
    </row>
    <row r="12">
      <c r="A12" s="5" t="inlineStr">
        <is>
          <t>Ajuste fijo de acabado (tapiz)</t>
        </is>
      </c>
      <c r="B12" s="6" t="n">
        <v>25</v>
      </c>
      <c r="C12" s="5" t="inlineStr">
        <is>
          <t>S/</t>
        </is>
      </c>
    </row>
    <row r="13">
      <c r="A13" s="5" t="inlineStr">
        <is>
          <t>Margen sugerido</t>
        </is>
      </c>
      <c r="B13" s="7" t="n">
        <v>0.4</v>
      </c>
    </row>
    <row r="16" ht="18" customHeight="1">
      <c r="A16" s="3" t="inlineStr">
        <is>
          <t>2. FELPUDO DE VINILO EN ROLLO (sin logo) — ancho fijo de rollo 1.20 m</t>
        </is>
      </c>
    </row>
    <row r="17">
      <c r="A17" s="4" t="inlineStr">
        <is>
          <t>Marca</t>
        </is>
      </c>
      <c r="B17" s="4" t="inlineStr">
        <is>
          <t>Espesor</t>
        </is>
      </c>
      <c r="C17" s="4" t="inlineStr">
        <is>
          <t>Costo (S//m)</t>
        </is>
      </c>
      <c r="D17" s="4" t="inlineStr">
        <is>
          <t>Margen sugerido</t>
        </is>
      </c>
      <c r="E17" s="4" t="inlineStr">
        <is>
          <t>Precio venta (S//m)</t>
        </is>
      </c>
    </row>
    <row r="18">
      <c r="A18" s="5" t="inlineStr">
        <is>
          <t>Multilop</t>
        </is>
      </c>
      <c r="B18" s="5" t="inlineStr">
        <is>
          <t>12mm</t>
        </is>
      </c>
      <c r="C18" s="6" t="n">
        <v>94.90000000000001</v>
      </c>
      <c r="D18" s="7" t="n">
        <v>0.35</v>
      </c>
      <c r="E18" s="8">
        <f>ROUND(C18/(1-D18),2)</f>
        <v/>
      </c>
      <c r="F18" s="5" t="inlineStr">
        <is>
          <t>Multilop 12mm</t>
        </is>
      </c>
    </row>
    <row r="19">
      <c r="A19" s="5" t="inlineStr">
        <is>
          <t>Multilop</t>
        </is>
      </c>
      <c r="B19" s="5" t="inlineStr">
        <is>
          <t>15mm</t>
        </is>
      </c>
      <c r="C19" s="6" t="n">
        <v>126.9</v>
      </c>
      <c r="D19" s="7" t="n">
        <v>0.35</v>
      </c>
      <c r="E19" s="8">
        <f>ROUND(C19/(1-D19),2)</f>
        <v/>
      </c>
      <c r="F19" s="5" t="inlineStr">
        <is>
          <t>Multilop 15mm</t>
        </is>
      </c>
    </row>
    <row r="20">
      <c r="A20" s="5" t="inlineStr">
        <is>
          <t>Paolo</t>
        </is>
      </c>
      <c r="B20" s="5" t="inlineStr">
        <is>
          <t>12mm</t>
        </is>
      </c>
      <c r="C20" s="6" t="n">
        <v>50</v>
      </c>
      <c r="D20" s="7" t="n">
        <v>0.4</v>
      </c>
      <c r="E20" s="8">
        <f>ROUND(C20/(1-D20),2)</f>
        <v/>
      </c>
      <c r="F20" s="5" t="inlineStr">
        <is>
          <t>Paolo 12mm</t>
        </is>
      </c>
    </row>
    <row r="21">
      <c r="A21" s="5" t="inlineStr">
        <is>
          <t>Paolo</t>
        </is>
      </c>
      <c r="B21" s="5" t="inlineStr">
        <is>
          <t>15mm</t>
        </is>
      </c>
      <c r="C21" s="6" t="n">
        <v>95</v>
      </c>
      <c r="D21" s="7" t="n">
        <v>0.4</v>
      </c>
      <c r="E21" s="8">
        <f>ROUND(C21/(1-D21),2)</f>
        <v/>
      </c>
      <c r="F21" s="5" t="inlineStr">
        <is>
          <t>Paolo 15mm</t>
        </is>
      </c>
    </row>
    <row r="22">
      <c r="A22" s="5" t="inlineStr">
        <is>
          <t>Q Rubber</t>
        </is>
      </c>
      <c r="B22" s="5" t="inlineStr">
        <is>
          <t>13-14mm</t>
        </is>
      </c>
      <c r="C22" s="6" t="n">
        <v>71</v>
      </c>
      <c r="D22" s="7" t="n">
        <v>0.4</v>
      </c>
      <c r="E22" s="8">
        <f>ROUND(C22/(1-D22),2)</f>
        <v/>
      </c>
      <c r="F22" s="5" t="inlineStr">
        <is>
          <t>Q Rubber 13-14mm</t>
        </is>
      </c>
    </row>
    <row r="25" ht="18" customHeight="1">
      <c r="A25" s="3" t="inlineStr">
        <is>
          <t>3. FELPUDOS MIXTOS (retienen polvo y secan, perfil de jebe — marca base Confort Mat)</t>
        </is>
      </c>
    </row>
    <row r="26">
      <c r="A26" s="4" t="inlineStr">
        <is>
          <t>Concepto</t>
        </is>
      </c>
      <c r="B26" s="4" t="inlineStr">
        <is>
          <t>Valor</t>
        </is>
      </c>
      <c r="C26" s="4" t="inlineStr">
        <is>
          <t>Unidad</t>
        </is>
      </c>
    </row>
    <row r="27">
      <c r="A27" s="5" t="inlineStr">
        <is>
          <t>Costo material</t>
        </is>
      </c>
      <c r="B27" s="6" t="n">
        <v>45</v>
      </c>
      <c r="C27" s="5" t="inlineStr">
        <is>
          <t>S//m²</t>
        </is>
      </c>
    </row>
    <row r="28">
      <c r="A28" s="5" t="inlineStr">
        <is>
          <t>Costo perfil (ribete de jebe)</t>
        </is>
      </c>
      <c r="B28" s="6" t="n">
        <v>9</v>
      </c>
      <c r="C28" s="5" t="inlineStr">
        <is>
          <t>S//m</t>
        </is>
      </c>
    </row>
    <row r="29">
      <c r="A29" s="5" t="inlineStr">
        <is>
          <t>Extra fijo sobre perímetro</t>
        </is>
      </c>
      <c r="B29" s="6" t="n">
        <v>0.24</v>
      </c>
      <c r="C29" s="5" t="inlineStr">
        <is>
          <t>m</t>
        </is>
      </c>
    </row>
    <row r="30">
      <c r="A30" s="5" t="inlineStr">
        <is>
          <t>Mano de obra — componente fijo</t>
        </is>
      </c>
      <c r="B30" s="6" t="n">
        <v>20</v>
      </c>
      <c r="C30" s="5" t="inlineStr">
        <is>
          <t>S/</t>
        </is>
      </c>
    </row>
    <row r="31">
      <c r="A31" s="5" t="inlineStr">
        <is>
          <t>Mano de obra — componente variable</t>
        </is>
      </c>
      <c r="B31" s="6" t="n">
        <v>16.67</v>
      </c>
      <c r="C31" s="5" t="inlineStr">
        <is>
          <t>S//m²</t>
        </is>
      </c>
    </row>
    <row r="32">
      <c r="A32" s="5" t="inlineStr">
        <is>
          <t>Margen sugerido</t>
        </is>
      </c>
      <c r="B32" s="7" t="n">
        <v>0.33</v>
      </c>
    </row>
    <row r="35" ht="18" customHeight="1">
      <c r="A35" s="3" t="inlineStr">
        <is>
          <t>4. PISO ANTIFATIGA</t>
        </is>
      </c>
    </row>
    <row r="36">
      <c r="A36" s="4" t="inlineStr">
        <is>
          <t>Marca</t>
        </is>
      </c>
      <c r="B36" s="4" t="inlineStr">
        <is>
          <t>Espesor</t>
        </is>
      </c>
      <c r="C36" s="4" t="inlineStr">
        <is>
          <t>Costo (S//m²)</t>
        </is>
      </c>
      <c r="D36" s="4" t="inlineStr">
        <is>
          <t>Margen sugerido</t>
        </is>
      </c>
      <c r="E36" s="4" t="inlineStr">
        <is>
          <t>Precio ref. (1.50×0.90m)</t>
        </is>
      </c>
    </row>
    <row r="37">
      <c r="A37" s="5" t="inlineStr">
        <is>
          <t>Paolo</t>
        </is>
      </c>
      <c r="B37" s="5" t="inlineStr">
        <is>
          <t>9mm</t>
        </is>
      </c>
      <c r="C37" s="6" t="n">
        <v>37.04</v>
      </c>
      <c r="D37" s="7" t="n">
        <v>0.58</v>
      </c>
      <c r="E37" s="8">
        <f>ROUND(C37*1.35/(1-D37),2)</f>
        <v/>
      </c>
      <c r="F37" s="5" t="inlineStr">
        <is>
          <t>Paolo 9mm</t>
        </is>
      </c>
    </row>
    <row r="38">
      <c r="A38" s="5" t="inlineStr">
        <is>
          <t>Q Rubber</t>
        </is>
      </c>
      <c r="B38" s="5" t="inlineStr">
        <is>
          <t>13mm</t>
        </is>
      </c>
      <c r="C38" s="6" t="n">
        <v>87.41</v>
      </c>
      <c r="D38" s="7" t="n">
        <v>0.41</v>
      </c>
      <c r="E38" s="8">
        <f>ROUND(C38*1.35/(1-D38),2)</f>
        <v/>
      </c>
      <c r="F38" s="5" t="inlineStr">
        <is>
          <t>Q Rubber 13mm</t>
        </is>
      </c>
    </row>
  </sheetData>
  <mergeCells count="6">
    <mergeCell ref="A2:F2"/>
    <mergeCell ref="A35:E35"/>
    <mergeCell ref="A4:E4"/>
    <mergeCell ref="A16:E16"/>
    <mergeCell ref="A1:F1"/>
    <mergeCell ref="A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COTIZADOR — Felpudos y Servicios</t>
        </is>
      </c>
    </row>
    <row r="2">
      <c r="A2" s="2" t="inlineStr">
        <is>
          <t>Llena solo las celdas amarillas. El precio sugerido se calcula automáticamente a partir de los datos de costeo de la pestaña 'Datos Base'. Revisa 'Notas y Supuestos' antes de usarlo para cotizar en firme.</t>
        </is>
      </c>
    </row>
    <row r="4" ht="18" customHeight="1">
      <c r="A4" s="3" t="inlineStr">
        <is>
          <t>A. FELPUDO DE VINILO (personalizado con logo, o en rollo sin logo)</t>
        </is>
      </c>
    </row>
    <row r="5">
      <c r="A5" s="5" t="inlineStr">
        <is>
          <t>Ancho (m)</t>
        </is>
      </c>
      <c r="B5" s="9" t="n">
        <v>1.2</v>
      </c>
    </row>
    <row r="6">
      <c r="A6" s="5" t="inlineStr">
        <is>
          <t>Alto / largo (m)</t>
        </is>
      </c>
      <c r="B6" s="9" t="n">
        <v>0.9</v>
      </c>
    </row>
    <row r="7">
      <c r="A7" s="5" t="inlineStr">
        <is>
          <t>¿Lleva logo?</t>
        </is>
      </c>
      <c r="B7" s="10" t="inlineStr">
        <is>
          <t>Sí</t>
        </is>
      </c>
    </row>
    <row r="8">
      <c r="A8" s="5" t="inlineStr">
        <is>
          <t>Si NO lleva logo — Marca y espesor del rollo</t>
        </is>
      </c>
      <c r="B8" s="10" t="inlineStr">
        <is>
          <t>Multilop 12mm</t>
        </is>
      </c>
    </row>
    <row r="9">
      <c r="A9" s="5" t="inlineStr">
        <is>
          <t>Margen deseado (%) — vacío = usar el sugerido</t>
        </is>
      </c>
      <c r="B9" s="7" t="n"/>
    </row>
    <row r="11">
      <c r="A11" s="4" t="inlineStr">
        <is>
          <t>RESULTADOS</t>
        </is>
      </c>
    </row>
    <row r="12">
      <c r="A12" s="5" t="inlineStr">
        <is>
          <t>Área (m²)</t>
        </is>
      </c>
      <c r="B12" s="11">
        <f>B5*B6</f>
        <v/>
      </c>
    </row>
    <row r="13">
      <c r="A13" s="5" t="inlineStr">
        <is>
          <t>Costo materiales (S/)</t>
        </is>
      </c>
      <c r="B13" s="8">
        <f>IF(B7="Sí", B12*'Datos Base'!$B$6 + IF(B12&lt;1,'Datos Base'!$B$8,'Datos Base'!$B$9)*'Datos Base'!$B$7, B6*INDEX('Datos Base'!$C$18:$C$22,MATCH(B8,'Datos Base'!$F$18:$F$22,0)))</f>
        <v/>
      </c>
    </row>
    <row r="14">
      <c r="A14" s="5" t="inlineStr">
        <is>
          <t>Costo mano de obra (S/)</t>
        </is>
      </c>
      <c r="B14" s="8">
        <f>IF(B7="Sí", 'Datos Base'!$B$10 + 'Datos Base'!$B$11*B12, 0)</f>
        <v/>
      </c>
    </row>
    <row r="15">
      <c r="A15" s="5" t="inlineStr">
        <is>
          <t>Costo total (S/)</t>
        </is>
      </c>
      <c r="B15" s="8">
        <f>B13+B14</f>
        <v/>
      </c>
    </row>
    <row r="16">
      <c r="A16" s="5" t="inlineStr">
        <is>
          <t>Margen aplicado (%)</t>
        </is>
      </c>
      <c r="B16" s="12">
        <f>IF(B9&lt;&gt;"", B9, IF(B7="Sí", 'Datos Base'!$B$13, INDEX('Datos Base'!$D$18:$D$22,MATCH(B8,'Datos Base'!$F$18:$F$22,0))))</f>
        <v/>
      </c>
    </row>
    <row r="17">
      <c r="A17" s="5" t="inlineStr">
        <is>
          <t>Ajuste fijo de acabado (S/, solo con logo)</t>
        </is>
      </c>
      <c r="B17" s="8">
        <f>IF(B7="Sí",'Datos Base'!$B$12,0)</f>
        <v/>
      </c>
    </row>
    <row r="18">
      <c r="A18" s="4" t="inlineStr">
        <is>
          <t>PRECIO SUGERIDO (S/)</t>
        </is>
      </c>
      <c r="B18" s="13">
        <f>ROUND(B15/(1-B16)+B17,2)</f>
        <v/>
      </c>
    </row>
    <row r="21" ht="18" customHeight="1">
      <c r="A21" s="3" t="inlineStr">
        <is>
          <t>B. FELPUDOS MIXTOS</t>
        </is>
      </c>
    </row>
    <row r="22">
      <c r="A22" s="5" t="inlineStr">
        <is>
          <t>Ancho (m)</t>
        </is>
      </c>
      <c r="B22" s="9" t="n">
        <v>1.2</v>
      </c>
    </row>
    <row r="23">
      <c r="A23" s="5" t="inlineStr">
        <is>
          <t>Alto / largo (m)</t>
        </is>
      </c>
      <c r="B23" s="9" t="n">
        <v>1</v>
      </c>
    </row>
    <row r="24">
      <c r="A24" s="5" t="inlineStr">
        <is>
          <t>Margen deseado (%) — vacío = usar el sugerido</t>
        </is>
      </c>
      <c r="B24" s="7" t="n"/>
    </row>
    <row r="26">
      <c r="A26" s="4" t="inlineStr">
        <is>
          <t>RESULTADOS</t>
        </is>
      </c>
    </row>
    <row r="27">
      <c r="A27" s="5" t="inlineStr">
        <is>
          <t>Área (m²)</t>
        </is>
      </c>
      <c r="B27" s="11">
        <f>B22*B23</f>
        <v/>
      </c>
    </row>
    <row r="28">
      <c r="A28" s="5" t="inlineStr">
        <is>
          <t>Perímetro + extra (m)</t>
        </is>
      </c>
      <c r="B28" s="11">
        <f>2*(B22+B23)+'Datos Base'!$B$29</f>
        <v/>
      </c>
    </row>
    <row r="29">
      <c r="A29" s="5" t="inlineStr">
        <is>
          <t>Costo materiales (S/)</t>
        </is>
      </c>
      <c r="B29" s="8">
        <f>B27*'Datos Base'!$B$27+B28*'Datos Base'!$B$28</f>
        <v/>
      </c>
    </row>
    <row r="30">
      <c r="A30" s="5" t="inlineStr">
        <is>
          <t>Costo mano de obra (S/)</t>
        </is>
      </c>
      <c r="B30" s="8">
        <f>'Datos Base'!$B$30+'Datos Base'!$B$31*B27</f>
        <v/>
      </c>
    </row>
    <row r="31">
      <c r="A31" s="5" t="inlineStr">
        <is>
          <t>Costo total (S/)</t>
        </is>
      </c>
      <c r="B31" s="8">
        <f>B29+B30</f>
        <v/>
      </c>
    </row>
    <row r="32">
      <c r="A32" s="5" t="inlineStr">
        <is>
          <t>Margen aplicado (%)</t>
        </is>
      </c>
      <c r="B32" s="12">
        <f>IF(B24&lt;&gt;"",B24,'Datos Base'!$B$32)</f>
        <v/>
      </c>
    </row>
    <row r="33">
      <c r="A33" s="4" t="inlineStr">
        <is>
          <t>PRECIO SUGERIDO (S/)</t>
        </is>
      </c>
      <c r="B33" s="13">
        <f>ROUND(B31/(1-B32),2)</f>
        <v/>
      </c>
    </row>
    <row r="36" ht="18" customHeight="1">
      <c r="A36" s="3" t="inlineStr">
        <is>
          <t>C. PISO ANTIFATIGA</t>
        </is>
      </c>
    </row>
    <row r="37">
      <c r="A37" s="5" t="inlineStr">
        <is>
          <t>Ancho (m)</t>
        </is>
      </c>
      <c r="B37" s="9" t="n">
        <v>1.5</v>
      </c>
    </row>
    <row r="38">
      <c r="A38" s="5" t="inlineStr">
        <is>
          <t>Alto / largo (m)</t>
        </is>
      </c>
      <c r="B38" s="9" t="n">
        <v>0.9</v>
      </c>
    </row>
    <row r="39">
      <c r="A39" s="5" t="inlineStr">
        <is>
          <t>Marca y espesor</t>
        </is>
      </c>
      <c r="B39" s="10" t="inlineStr">
        <is>
          <t>Paolo 9mm</t>
        </is>
      </c>
    </row>
    <row r="40">
      <c r="A40" s="5" t="inlineStr">
        <is>
          <t>Margen deseado (%) — vacío = usar el sugerido</t>
        </is>
      </c>
      <c r="B40" s="7" t="n"/>
    </row>
    <row r="42">
      <c r="A42" s="4" t="inlineStr">
        <is>
          <t>RESULTADOS</t>
        </is>
      </c>
    </row>
    <row r="43">
      <c r="A43" s="5" t="inlineStr">
        <is>
          <t>Área (m²)</t>
        </is>
      </c>
      <c r="B43" s="11">
        <f>B37*B38</f>
        <v/>
      </c>
    </row>
    <row r="44">
      <c r="A44" s="5" t="inlineStr">
        <is>
          <t>Costo por m² (S/)</t>
        </is>
      </c>
      <c r="B44" s="8">
        <f>INDEX('Datos Base'!$C$37:$C$38,MATCH(B39,'Datos Base'!$F$37:$F$38,0))</f>
        <v/>
      </c>
    </row>
    <row r="45">
      <c r="A45" s="5" t="inlineStr">
        <is>
          <t>Costo total (S/)</t>
        </is>
      </c>
      <c r="B45" s="8">
        <f>B43*B44</f>
        <v/>
      </c>
    </row>
    <row r="46">
      <c r="A46" s="5" t="inlineStr">
        <is>
          <t>Margen aplicado (%)</t>
        </is>
      </c>
      <c r="B46" s="12">
        <f>IF(B40&lt;&gt;"",B40,INDEX('Datos Base'!$D$37:$D$38,MATCH(B39,'Datos Base'!$F$37:$F$38,0)))</f>
        <v/>
      </c>
    </row>
    <row r="47">
      <c r="A47" s="4" t="inlineStr">
        <is>
          <t>PRECIO SUGERIDO (S/)</t>
        </is>
      </c>
      <c r="B47" s="13">
        <f>ROUND(B45/(1-B46),2)</f>
        <v/>
      </c>
    </row>
  </sheetData>
  <mergeCells count="5">
    <mergeCell ref="A21:E21"/>
    <mergeCell ref="A2:F2"/>
    <mergeCell ref="A4:E4"/>
    <mergeCell ref="A1:F1"/>
    <mergeCell ref="A36:E36"/>
  </mergeCells>
  <dataValidations count="3">
    <dataValidation sqref="B7" showDropDown="0" showInputMessage="0" showErrorMessage="0" allowBlank="0" type="list">
      <formula1>"Sí,No"</formula1>
    </dataValidation>
    <dataValidation sqref="B8" showDropDown="0" showInputMessage="0" showErrorMessage="0" allowBlank="1" type="list">
      <formula1>"Multilop 12mm,Multilop 15mm,Paolo 12mm,Paolo 15mm,Q Rubber 13-14mm"</formula1>
    </dataValidation>
    <dataValidation sqref="B39" showDropDown="0" showInputMessage="0" showErrorMessage="0" allowBlank="1" type="list">
      <formula1>"Paolo 9mm,Q Rubber 13mm"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NOTAS Y SUPUESTOS</t>
        </is>
      </c>
    </row>
    <row r="4" ht="30" customHeight="1">
      <c r="A4" s="14" t="inlineStr">
        <is>
          <t>FUENTE: 3 fotos de notas de costeo manuscritas compartidas por el usuario el 2026-07-21 (Felpudos Mixtos / Piso Antifatiga, Felpudo Vinilo con Logo, Felpudo Vinilo en Rollos). Las fotos no quedaron guardadas como archivo en este repo (se compartieron pegadas en el chat, no como adjunto) — si se quiere conservar el original, hay que reenviarlas como archivo adjunto.</t>
        </is>
      </c>
    </row>
    <row r="6" ht="16" customHeight="1">
      <c r="A6" s="15" t="inlineStr">
        <is>
          <t>CÓMO SE DERIVARON LAS FÓRMULAS</t>
        </is>
      </c>
    </row>
    <row r="7" ht="30" customHeight="1">
      <c r="A7" s="14" t="inlineStr">
        <is>
          <t>Los valores en 'Datos Base' se obtuvieron por ingeniería inversa de los 4 (con logo) y 3 (mixtos) ejemplos manuscritos, ajustando una relación lineal (Costo = fijo + variable × área). El ajuste coincide casi exacto con los ejemplos de 'con logo' (diferencias de centavos por redondeo manual). En 'mixtos' el ajuste es un poco menos preciso (solo 3 puntos de datos) — validar con más ejemplos reales antes de confiar en el resultado para cotizaciones grandes.</t>
        </is>
      </c>
    </row>
    <row r="9" ht="16" customHeight="1">
      <c r="A9" s="15" t="inlineStr">
        <is>
          <t>SUPUESTOS A VALIDAR CON EL USUARIO</t>
        </is>
      </c>
    </row>
    <row r="10" ht="30" customHeight="1">
      <c r="A10" s="14" t="inlineStr">
        <is>
          <t>1. Longitud extra (ribete) en 'con logo': se asumió 0.20 m para áreas menores a 1.00 m² y 0.30 m para el resto, porque así calzan los 4 ejemplos dados. No está confirmado si la regla real depende del área, del ancho del logo, o de otra cosa — pedir más ejemplos con distintos tamaños de logo.</t>
        </is>
      </c>
    </row>
    <row r="11" ht="30" customHeight="1">
      <c r="A11" s="14" t="inlineStr">
        <is>
          <t>2. Ajuste fijo de acabado ('tapiz'): en las notas originales varía entre S/23 y S/25 según el ejemplo. Se usó S/25 como estándar en el cotizador — confirmar si esa variación fue error de redondeo o un criterio real (p.ej. tamaño de logo).</t>
        </is>
      </c>
    </row>
    <row r="12" ht="30" customHeight="1">
      <c r="A12" s="14" t="inlineStr">
        <is>
          <t>3. Paolo 15mm: en la sección de COSTOS de la foto 3 aparece como S/90.00, pero en la sección de VENTA el cálculo del precio (S/158.00) solo cuadra si el costo es S/95.00. Se usó S/95.00 (el que sí reproduce el precio de venta anotado) — confirmar cuál es el costo correcto.</t>
        </is>
      </c>
    </row>
    <row r="13" ht="30" customHeight="1">
      <c r="A13" s="14" t="inlineStr">
        <is>
          <t>4. Mano de obra de 'Felpudos Mixtos': interpolada linealmente con solo 3 puntos de datos (S/40, S/45, S/50 para 1.20, 1.60 y 1.80 m de ancho) — es la fórmula menos confiable del archivo.</t>
        </is>
      </c>
    </row>
    <row r="14" ht="30" customHeight="1">
      <c r="A14" s="14" t="inlineStr">
        <is>
          <t>5. Piso Antifatiga: solo hay 1 ejemplo de precio por marca/espesor (a 1.50×0.90m), así que el costo por m² es una simple división — no hay forma de confirmar si escala igual a otros tamaños.</t>
        </is>
      </c>
    </row>
    <row r="16" ht="16" customHeight="1">
      <c r="A16" s="15" t="inlineStr">
        <is>
          <t>CÓMO USAR EL COTIZADOR</t>
        </is>
      </c>
    </row>
    <row r="17" ht="30" customHeight="1">
      <c r="A17" s="14" t="inlineStr">
        <is>
          <t>En la pestaña 'Cotizador', llenar solo las celdas amarillas (ancho, alto, si lleva logo, marca/espesor cuando aplique, y margen deseado — dejar el margen en blanco para usar el sugerido). El precio se recalcula solo. Si se actualiza algún costo real (p.ej. sube el precio del rollo), actualizarlo en 'Datos Base' y todo el cotizador se ajusta automáticamente.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2026-07-21T19:00:00Z</dcterms:created>
  <dcterms:modified xmlns:dcterms="http://purl.org/dc/terms/" xmlns:xsi="http://www.w3.org/2001/XMLSchema-instance" xsi:type="dcterms:W3CDTF">2026-07-21T19:00:00Z</dcterms:modified>
</cp:coreProperties>
</file>