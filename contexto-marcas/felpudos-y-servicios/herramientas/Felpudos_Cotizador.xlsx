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 Base" sheetId="1" state="visible" r:id="rId1"/>
    <sheet xmlns:r="http://schemas.openxmlformats.org/officeDocument/2006/relationships" name="Cotizador" sheetId="2" state="visible" r:id="rId2"/>
    <sheet xmlns:r="http://schemas.openxmlformats.org/officeDocument/2006/relationships" name="Notas y Supues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&quot;S/&quot; 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i val="1"/>
      <color rgb="00CC0000"/>
      <sz val="9"/>
    </font>
  </fonts>
  <fills count="7">
    <fill>
      <patternFill/>
    </fill>
    <fill>
      <patternFill patternType="gray125"/>
    </fill>
    <fill>
      <patternFill patternType="solid">
        <fgColor rgb="00005E7D"/>
      </patternFill>
    </fill>
    <fill>
      <patternFill patternType="solid">
        <fgColor rgb="003F451E"/>
      </patternFill>
    </fill>
    <fill>
      <patternFill patternType="solid">
        <fgColor rgb="00FFFF00"/>
      </patternFill>
    </fill>
    <fill>
      <patternFill patternType="solid">
        <fgColor rgb="00FFE699"/>
      </patternFill>
    </fill>
    <fill>
      <patternFill patternType="solid">
        <fgColor rgb="00F5CD9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4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165" fontId="6" fillId="5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165" fontId="6" fillId="4" borderId="1" applyAlignment="1" pivotButton="0" quotePrefix="0" xfId="0">
      <alignment horizontal="center"/>
    </xf>
    <xf numFmtId="2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2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6" fontId="4" fillId="6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  <col width="26" customWidth="1" min="6" max="6"/>
    <col width="55" customWidth="1" min="7" max="7"/>
  </cols>
  <sheetData>
    <row r="1" ht="22" customHeight="1">
      <c r="A1" s="1" t="inlineStr">
        <is>
          <t>DATOS BASE DE COSTEO — Felpudos y Servicios</t>
        </is>
      </c>
    </row>
    <row r="2">
      <c r="A2" s="2" t="inlineStr">
        <is>
          <t>Transcrito de notas de costeo manuscritas (fotos 2026-07-21). Celdas amarillas = datos reales confirmados. Celdas ámbar = estimaciones a validar (ver columna Nota). El Cotizador usa estos valores — cambia algo aquí y se actualiza todo solo.</t>
        </is>
      </c>
    </row>
    <row r="4" ht="18" customHeight="1">
      <c r="A4" s="3" t="inlineStr">
        <is>
          <t>1. FELPUDO DE VINILO — MATERIALES BASE (aplica con o sin logo)</t>
        </is>
      </c>
    </row>
    <row r="5">
      <c r="A5" s="4" t="inlineStr">
        <is>
          <t>Marca</t>
        </is>
      </c>
      <c r="B5" s="4" t="inlineStr">
        <is>
          <t>Espesor</t>
        </is>
      </c>
      <c r="C5" s="4" t="inlineStr">
        <is>
          <t>Costo (S//m²)</t>
        </is>
      </c>
      <c r="D5" s="4" t="inlineStr">
        <is>
          <t>Margen sugerido</t>
        </is>
      </c>
      <c r="E5" s="4" t="inlineStr"/>
      <c r="F5" s="4" t="inlineStr">
        <is>
          <t>Clave (marca+espesor)</t>
        </is>
      </c>
    </row>
    <row r="6">
      <c r="A6" s="5" t="inlineStr">
        <is>
          <t>Confort Mat</t>
        </is>
      </c>
      <c r="B6" s="5" t="inlineStr">
        <is>
          <t>14-15mm</t>
        </is>
      </c>
      <c r="C6" s="6" t="n">
        <v>59.17</v>
      </c>
      <c r="D6" s="7" t="n">
        <v>0.4</v>
      </c>
      <c r="F6" s="5" t="inlineStr">
        <is>
          <t>Confort Mat 14-15mm</t>
        </is>
      </c>
      <c r="G6" s="8" t="inlineStr">
        <is>
          <t>Usado en los 3 ejemplos reales con logo (Vet. Orbegoso, FINA, Bar Popular)</t>
        </is>
      </c>
    </row>
    <row r="7">
      <c r="A7" s="5" t="inlineStr">
        <is>
          <t>Multilop</t>
        </is>
      </c>
      <c r="B7" s="5" t="inlineStr">
        <is>
          <t>12mm</t>
        </is>
      </c>
      <c r="C7" s="6" t="n">
        <v>79.08</v>
      </c>
      <c r="D7" s="7" t="n">
        <v>0.35</v>
      </c>
      <c r="F7" s="5" t="inlineStr">
        <is>
          <t>Multilop 12mm</t>
        </is>
      </c>
      <c r="G7" s="8" t="inlineStr">
        <is>
          <t>Convertido de S/94.90/m lineal ÷ 1.20m de ancho de rollo</t>
        </is>
      </c>
    </row>
    <row r="8">
      <c r="A8" s="5" t="inlineStr">
        <is>
          <t>Multilop</t>
        </is>
      </c>
      <c r="B8" s="5" t="inlineStr">
        <is>
          <t>15mm</t>
        </is>
      </c>
      <c r="C8" s="6" t="n">
        <v>105.75</v>
      </c>
      <c r="D8" s="7" t="n">
        <v>0.35</v>
      </c>
      <c r="F8" s="5" t="inlineStr">
        <is>
          <t>Multilop 15mm</t>
        </is>
      </c>
      <c r="G8" s="8" t="inlineStr">
        <is>
          <t>Convertido de S/126.90/m lineal ÷ 1.20m</t>
        </is>
      </c>
    </row>
    <row r="9">
      <c r="A9" s="5" t="inlineStr">
        <is>
          <t>Paolo</t>
        </is>
      </c>
      <c r="B9" s="5" t="inlineStr">
        <is>
          <t>12mm</t>
        </is>
      </c>
      <c r="C9" s="6" t="n">
        <v>41.67</v>
      </c>
      <c r="D9" s="7" t="n">
        <v>0.4</v>
      </c>
      <c r="F9" s="5" t="inlineStr">
        <is>
          <t>Paolo 12mm</t>
        </is>
      </c>
      <c r="G9" s="8" t="inlineStr">
        <is>
          <t>Convertido de S/50.00/m lineal ÷ 1.20m</t>
        </is>
      </c>
    </row>
    <row r="10">
      <c r="A10" s="5" t="inlineStr">
        <is>
          <t>Paolo</t>
        </is>
      </c>
      <c r="B10" s="5" t="inlineStr">
        <is>
          <t>15mm</t>
        </is>
      </c>
      <c r="C10" s="6" t="n">
        <v>79.17</v>
      </c>
      <c r="D10" s="7" t="n">
        <v>0.4</v>
      </c>
      <c r="F10" s="5" t="inlineStr">
        <is>
          <t>Paolo 15mm</t>
        </is>
      </c>
      <c r="G10" s="8" t="inlineStr">
        <is>
          <t>Convertido de S/95.00/m lineal ÷ 1.20m (ver Notas: discrepancia S/90 vs S/95 en el original)</t>
        </is>
      </c>
    </row>
    <row r="11">
      <c r="A11" s="5" t="inlineStr">
        <is>
          <t>Q Rubber</t>
        </is>
      </c>
      <c r="B11" s="5" t="inlineStr">
        <is>
          <t>13-14mm</t>
        </is>
      </c>
      <c r="C11" s="6" t="n">
        <v>59.17</v>
      </c>
      <c r="D11" s="7" t="n">
        <v>0.4</v>
      </c>
      <c r="F11" s="5" t="inlineStr">
        <is>
          <t>Q Rubber 13-14mm</t>
        </is>
      </c>
      <c r="G11" s="8" t="inlineStr">
        <is>
          <t>Convertido de S/71.00/m lineal ÷ 1.20m</t>
        </is>
      </c>
    </row>
    <row r="13" ht="18" customHeight="1">
      <c r="A13" s="3" t="inlineStr">
        <is>
          <t>1b. FELPUDO DE VINILO — NIVELES DE COMPLEJIDAD DEL LOGO (solo si lleva logo)</t>
        </is>
      </c>
    </row>
    <row r="14">
      <c r="A14" s="4" t="inlineStr">
        <is>
          <t>Nivel</t>
        </is>
      </c>
      <c r="B14" s="4" t="inlineStr">
        <is>
          <t>Mult. costo material extra</t>
        </is>
      </c>
      <c r="C14" s="4" t="inlineStr">
        <is>
          <t>Mult. mano de obra</t>
        </is>
      </c>
      <c r="D14" s="4" t="inlineStr"/>
      <c r="E14" s="4" t="inlineStr"/>
      <c r="F14" s="4" t="inlineStr">
        <is>
          <t>Nota</t>
        </is>
      </c>
    </row>
    <row r="15">
      <c r="A15" s="5" t="inlineStr">
        <is>
          <t>Simple</t>
        </is>
      </c>
      <c r="B15" s="9" t="n">
        <v>0.8</v>
      </c>
      <c r="C15" s="9" t="n">
        <v>0.8</v>
      </c>
      <c r="F15" s="10" t="inlineStr">
        <is>
          <t>ESTIMADO (ajustado por el usuario) — sin datos reales aún. Ajustar cuando haya ejemplos (1-2 colores, texto simple).</t>
        </is>
      </c>
    </row>
    <row r="16">
      <c r="A16" s="5" t="inlineStr">
        <is>
          <t>Media</t>
        </is>
      </c>
      <c r="B16" s="11" t="n">
        <v>1</v>
      </c>
      <c r="C16" s="11" t="n">
        <v>1</v>
      </c>
      <c r="F16" s="8" t="inlineStr">
        <is>
          <t>Baseline = los 4 ejemplos reales que sí tenemos (logos con 2-3 colores, tipo Vet.Orbegoso/FINA/Bar Popular).</t>
        </is>
      </c>
    </row>
    <row r="17">
      <c r="A17" s="5" t="inlineStr">
        <is>
          <t>Compleja</t>
        </is>
      </c>
      <c r="B17" s="9" t="n">
        <v>1.2</v>
      </c>
      <c r="C17" s="9" t="n">
        <v>1.2</v>
      </c>
      <c r="F17" s="10" t="inlineStr">
        <is>
          <t>ESTIMADO (ajustado por el usuario) — sin datos reales aún. Ajustar cuando haya ejemplos (4+ colores, degradados, detalle fino).</t>
        </is>
      </c>
    </row>
    <row r="19" ht="18" customHeight="1">
      <c r="A19" s="3" t="inlineStr">
        <is>
          <t>1c. FELPUDO DE VINILO — OTROS COSTOS DEL LOGO (nivel 'Media', antes de multiplicador)</t>
        </is>
      </c>
    </row>
    <row r="20">
      <c r="A20" s="4" t="inlineStr">
        <is>
          <t>Concepto</t>
        </is>
      </c>
      <c r="B20" s="4" t="inlineStr">
        <is>
          <t>Valor</t>
        </is>
      </c>
      <c r="C20" s="4" t="inlineStr">
        <is>
          <t>Unidad</t>
        </is>
      </c>
    </row>
    <row r="21">
      <c r="A21" s="5" t="inlineStr">
        <is>
          <t>Costo material extra ribete (por m lineal)</t>
        </is>
      </c>
      <c r="B21" s="6" t="n">
        <v>94.90000000000001</v>
      </c>
      <c r="C21" s="5" t="inlineStr">
        <is>
          <t>S//m</t>
        </is>
      </c>
    </row>
    <row r="22">
      <c r="A22" s="5" t="inlineStr">
        <is>
          <t>Longitud extra si área &lt; 1.00 m²</t>
        </is>
      </c>
      <c r="B22" s="6" t="n">
        <v>0.2</v>
      </c>
      <c r="C22" s="5" t="inlineStr">
        <is>
          <t>m</t>
        </is>
      </c>
    </row>
    <row r="23">
      <c r="A23" s="5" t="inlineStr">
        <is>
          <t>Longitud extra si área ≥ 1.00 m²</t>
        </is>
      </c>
      <c r="B23" s="6" t="n">
        <v>0.3</v>
      </c>
      <c r="C23" s="5" t="inlineStr">
        <is>
          <t>m</t>
        </is>
      </c>
    </row>
    <row r="24">
      <c r="A24" s="5" t="inlineStr">
        <is>
          <t>Mano de obra — componente fijo</t>
        </is>
      </c>
      <c r="B24" s="6" t="n">
        <v>80</v>
      </c>
      <c r="C24" s="5" t="inlineStr">
        <is>
          <t>S/</t>
        </is>
      </c>
    </row>
    <row r="25">
      <c r="A25" s="5" t="inlineStr">
        <is>
          <t>Mano de obra — componente variable</t>
        </is>
      </c>
      <c r="B25" s="6" t="n">
        <v>37.04</v>
      </c>
      <c r="C25" s="5" t="inlineStr">
        <is>
          <t>S//m²</t>
        </is>
      </c>
    </row>
    <row r="26">
      <c r="A26" s="5" t="inlineStr">
        <is>
          <t>Ajuste fijo de acabado (tapiz)</t>
        </is>
      </c>
      <c r="B26" s="6" t="n">
        <v>25</v>
      </c>
      <c r="C26" s="5" t="inlineStr">
        <is>
          <t>S/</t>
        </is>
      </c>
    </row>
    <row r="28" ht="18" customHeight="1">
      <c r="A28" s="3" t="inlineStr">
        <is>
          <t>2. FELPUDOS MIXTOS (retienen polvo y secan, perfil de jebe — marca base Confort Mat)</t>
        </is>
      </c>
    </row>
    <row r="29">
      <c r="A29" s="4" t="inlineStr">
        <is>
          <t>Concepto</t>
        </is>
      </c>
      <c r="B29" s="4" t="inlineStr">
        <is>
          <t>Valor</t>
        </is>
      </c>
      <c r="C29" s="4" t="inlineStr">
        <is>
          <t>Unidad</t>
        </is>
      </c>
    </row>
    <row r="30">
      <c r="A30" s="5" t="inlineStr">
        <is>
          <t>Costo material</t>
        </is>
      </c>
      <c r="B30" s="6" t="n">
        <v>45</v>
      </c>
      <c r="C30" s="5" t="inlineStr">
        <is>
          <t>S//m²</t>
        </is>
      </c>
    </row>
    <row r="31">
      <c r="A31" s="5" t="inlineStr">
        <is>
          <t>Costo perfil (ribete de jebe)</t>
        </is>
      </c>
      <c r="B31" s="6" t="n">
        <v>9</v>
      </c>
      <c r="C31" s="5" t="inlineStr">
        <is>
          <t>S//m</t>
        </is>
      </c>
    </row>
    <row r="32">
      <c r="A32" s="5" t="inlineStr">
        <is>
          <t>Extra fijo sobre perímetro</t>
        </is>
      </c>
      <c r="B32" s="6" t="n">
        <v>0.24</v>
      </c>
      <c r="C32" s="5" t="inlineStr">
        <is>
          <t>m</t>
        </is>
      </c>
    </row>
    <row r="33">
      <c r="A33" s="5" t="inlineStr">
        <is>
          <t>Mano de obra — componente fijo</t>
        </is>
      </c>
      <c r="B33" s="6" t="n">
        <v>20</v>
      </c>
      <c r="C33" s="5" t="inlineStr">
        <is>
          <t>S/</t>
        </is>
      </c>
    </row>
    <row r="34">
      <c r="A34" s="5" t="inlineStr">
        <is>
          <t>Mano de obra — componente variable</t>
        </is>
      </c>
      <c r="B34" s="6" t="n">
        <v>16.67</v>
      </c>
      <c r="C34" s="5" t="inlineStr">
        <is>
          <t>S//m²</t>
        </is>
      </c>
    </row>
    <row r="35">
      <c r="A35" s="5" t="inlineStr">
        <is>
          <t>Margen sugerido</t>
        </is>
      </c>
      <c r="B35" s="7" t="n">
        <v>0.33</v>
      </c>
    </row>
    <row r="37" ht="18" customHeight="1">
      <c r="A37" s="3" t="inlineStr">
        <is>
          <t>3. PISO ANTIFATIGA</t>
        </is>
      </c>
    </row>
    <row r="38">
      <c r="A38" s="4" t="inlineStr">
        <is>
          <t>Marca</t>
        </is>
      </c>
      <c r="B38" s="4" t="inlineStr">
        <is>
          <t>Espesor</t>
        </is>
      </c>
      <c r="C38" s="4" t="inlineStr">
        <is>
          <t>Costo (S//m²)</t>
        </is>
      </c>
      <c r="D38" s="4" t="inlineStr">
        <is>
          <t>Margen sugerido</t>
        </is>
      </c>
      <c r="E38" s="4" t="inlineStr"/>
      <c r="F38" s="4" t="inlineStr">
        <is>
          <t>Clave</t>
        </is>
      </c>
    </row>
    <row r="39">
      <c r="A39" s="5" t="inlineStr">
        <is>
          <t>Paolo</t>
        </is>
      </c>
      <c r="B39" s="5" t="inlineStr">
        <is>
          <t>9mm</t>
        </is>
      </c>
      <c r="C39" s="6" t="n">
        <v>37.04</v>
      </c>
      <c r="D39" s="7" t="n">
        <v>0.58</v>
      </c>
      <c r="F39" s="5" t="inlineStr">
        <is>
          <t>Paolo 9mm</t>
        </is>
      </c>
    </row>
    <row r="40">
      <c r="A40" s="5" t="inlineStr">
        <is>
          <t>Q Rubber</t>
        </is>
      </c>
      <c r="B40" s="5" t="inlineStr">
        <is>
          <t>13mm</t>
        </is>
      </c>
      <c r="C40" s="6" t="n">
        <v>87.41</v>
      </c>
      <c r="D40" s="7" t="n">
        <v>0.41</v>
      </c>
      <c r="F40" s="5" t="inlineStr">
        <is>
          <t>Q Rubber 13mm</t>
        </is>
      </c>
    </row>
  </sheetData>
  <mergeCells count="7">
    <mergeCell ref="A2:F2"/>
    <mergeCell ref="A28:F28"/>
    <mergeCell ref="A13:F13"/>
    <mergeCell ref="A19:F19"/>
    <mergeCell ref="A1:F1"/>
    <mergeCell ref="A37:F37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2" customHeight="1">
      <c r="A1" s="1" t="inlineStr">
        <is>
          <t>COTIZADOR — Felpudos y Servicios</t>
        </is>
      </c>
    </row>
    <row r="2">
      <c r="A2" s="2" t="inlineStr">
        <is>
          <t>Llena solo las celdas amarillas. Las celdas ámbar en 'Datos Base' (niveles de complejidad Simple/Compleja) son estimaciones — ajústalas ahí cuando tengas datos reales.</t>
        </is>
      </c>
    </row>
    <row r="4" ht="18" customHeight="1">
      <c r="A4" s="3" t="inlineStr">
        <is>
          <t>A. FELPUDO DE VINILO (con o sin logo)</t>
        </is>
      </c>
    </row>
    <row r="5">
      <c r="A5" s="5" t="inlineStr">
        <is>
          <t>Ancho (m)</t>
        </is>
      </c>
      <c r="B5" s="12" t="n">
        <v>1.2</v>
      </c>
    </row>
    <row r="6">
      <c r="A6" s="5" t="inlineStr">
        <is>
          <t>Alto / largo (m)</t>
        </is>
      </c>
      <c r="B6" s="12" t="n">
        <v>0.9</v>
      </c>
    </row>
    <row r="7">
      <c r="A7" s="5" t="inlineStr">
        <is>
          <t>Marca y espesor de la base</t>
        </is>
      </c>
      <c r="B7" s="13" t="inlineStr">
        <is>
          <t>Confort Mat 14-15mm</t>
        </is>
      </c>
    </row>
    <row r="8">
      <c r="A8" s="5" t="inlineStr">
        <is>
          <t>¿Lleva logo?</t>
        </is>
      </c>
      <c r="B8" s="13" t="inlineStr">
        <is>
          <t>Sí</t>
        </is>
      </c>
    </row>
    <row r="9">
      <c r="A9" s="5" t="inlineStr">
        <is>
          <t>Complejidad del logo (solo si lleva logo)</t>
        </is>
      </c>
      <c r="B9" s="13" t="inlineStr">
        <is>
          <t>Media</t>
        </is>
      </c>
    </row>
    <row r="10">
      <c r="A10" s="5" t="inlineStr">
        <is>
          <t>Margen deseado (%) — vacío = usar el sugerido</t>
        </is>
      </c>
      <c r="B10" s="7" t="n"/>
    </row>
    <row r="12">
      <c r="A12" s="4" t="inlineStr">
        <is>
          <t>RESULTADOS</t>
        </is>
      </c>
    </row>
    <row r="13">
      <c r="A13" s="5" t="inlineStr">
        <is>
          <t>Área (m²)</t>
        </is>
      </c>
      <c r="B13" s="14">
        <f>B5*B6</f>
        <v/>
      </c>
    </row>
    <row r="14">
      <c r="A14" s="5" t="inlineStr">
        <is>
          <t>Costo material base (S/)</t>
        </is>
      </c>
      <c r="B14" s="15">
        <f>B13*INDEX('Datos Base'!$C$6:$C$11,MATCH(B7,'Datos Base'!$F$6:$F$11,0))</f>
        <v/>
      </c>
    </row>
    <row r="15">
      <c r="A15" s="5" t="inlineStr">
        <is>
          <t>Costo material extra por logo (S/)</t>
        </is>
      </c>
      <c r="B15" s="15">
        <f>IF(B8="Sí", IF(B13&lt;1,'Datos Base'!$B$22,'Datos Base'!$B$23)*'Datos Base'!$B$21*INDEX('Datos Base'!$B$15:$B$17,MATCH(B9,'Datos Base'!$A$15:$A$17,0)), 0)</f>
        <v/>
      </c>
    </row>
    <row r="16">
      <c r="A16" s="5" t="inlineStr">
        <is>
          <t>Costo mano de obra (S/)</t>
        </is>
      </c>
      <c r="B16" s="15">
        <f>IF(B8="Sí", ('Datos Base'!$B$24+'Datos Base'!$B$25*B13)*INDEX('Datos Base'!$C$15:$C$17,MATCH(B9,'Datos Base'!$A$15:$A$17,0)), 0)</f>
        <v/>
      </c>
    </row>
    <row r="17">
      <c r="A17" s="5" t="inlineStr">
        <is>
          <t>Costo total (S/)</t>
        </is>
      </c>
      <c r="B17" s="15">
        <f>B14+B15+B16</f>
        <v/>
      </c>
    </row>
    <row r="18">
      <c r="A18" s="5" t="inlineStr">
        <is>
          <t>Margen aplicado (%)</t>
        </is>
      </c>
      <c r="B18" s="16">
        <f>IF(B10&lt;&gt;"", B10, INDEX('Datos Base'!$D$6:$D$11,MATCH(B7,'Datos Base'!$F$6:$F$11,0)))</f>
        <v/>
      </c>
    </row>
    <row r="19">
      <c r="A19" s="5" t="inlineStr">
        <is>
          <t>Ajuste fijo de acabado (S/, solo con logo)</t>
        </is>
      </c>
      <c r="B19" s="15">
        <f>IF(B8="Sí",'Datos Base'!$B$26,0)</f>
        <v/>
      </c>
    </row>
    <row r="20">
      <c r="A20" s="4" t="inlineStr">
        <is>
          <t>PRECIO SUGERIDO (S/)</t>
        </is>
      </c>
      <c r="B20" s="17">
        <f>ROUND(B17/(1-B18)+B19,2)</f>
        <v/>
      </c>
    </row>
    <row r="23" ht="18" customHeight="1">
      <c r="A23" s="3" t="inlineStr">
        <is>
          <t>B. FELPUDOS MIXTOS</t>
        </is>
      </c>
    </row>
    <row r="24">
      <c r="A24" s="5" t="inlineStr">
        <is>
          <t>Ancho (m)</t>
        </is>
      </c>
      <c r="B24" s="12" t="n">
        <v>1.2</v>
      </c>
    </row>
    <row r="25">
      <c r="A25" s="5" t="inlineStr">
        <is>
          <t>Alto / largo (m)</t>
        </is>
      </c>
      <c r="B25" s="12" t="n">
        <v>1</v>
      </c>
    </row>
    <row r="26">
      <c r="A26" s="5" t="inlineStr">
        <is>
          <t>Margen deseado (%) — vacío = usar el sugerido</t>
        </is>
      </c>
      <c r="B26" s="7" t="n"/>
    </row>
    <row r="28">
      <c r="A28" s="4" t="inlineStr">
        <is>
          <t>RESULTADOS</t>
        </is>
      </c>
    </row>
    <row r="29">
      <c r="A29" s="5" t="inlineStr">
        <is>
          <t>Área (m²)</t>
        </is>
      </c>
      <c r="B29" s="14">
        <f>B24*B25</f>
        <v/>
      </c>
    </row>
    <row r="30">
      <c r="A30" s="5" t="inlineStr">
        <is>
          <t>Perímetro + extra (m)</t>
        </is>
      </c>
      <c r="B30" s="14">
        <f>2*(B24+B25)+'Datos Base'!$B$32</f>
        <v/>
      </c>
    </row>
    <row r="31">
      <c r="A31" s="5" t="inlineStr">
        <is>
          <t>Costo materiales (S/)</t>
        </is>
      </c>
      <c r="B31" s="15">
        <f>B29*'Datos Base'!$B$30+B30*'Datos Base'!$B$31</f>
        <v/>
      </c>
    </row>
    <row r="32">
      <c r="A32" s="5" t="inlineStr">
        <is>
          <t>Costo mano de obra (S/)</t>
        </is>
      </c>
      <c r="B32" s="15">
        <f>'Datos Base'!$B$33+'Datos Base'!$B$34*B29</f>
        <v/>
      </c>
    </row>
    <row r="33">
      <c r="A33" s="5" t="inlineStr">
        <is>
          <t>Costo total (S/)</t>
        </is>
      </c>
      <c r="B33" s="15">
        <f>B31+B32</f>
        <v/>
      </c>
    </row>
    <row r="34">
      <c r="A34" s="5" t="inlineStr">
        <is>
          <t>Margen aplicado (%)</t>
        </is>
      </c>
      <c r="B34" s="16">
        <f>IF(B26&lt;&gt;"",B26,'Datos Base'!$B$35)</f>
        <v/>
      </c>
    </row>
    <row r="35">
      <c r="A35" s="4" t="inlineStr">
        <is>
          <t>PRECIO SUGERIDO (S/)</t>
        </is>
      </c>
      <c r="B35" s="17">
        <f>ROUND(B33/(1-B34),2)</f>
        <v/>
      </c>
    </row>
    <row r="38" ht="18" customHeight="1">
      <c r="A38" s="3" t="inlineStr">
        <is>
          <t>C. PISO ANTIFATIGA</t>
        </is>
      </c>
    </row>
    <row r="39">
      <c r="A39" s="5" t="inlineStr">
        <is>
          <t>Ancho (m)</t>
        </is>
      </c>
      <c r="B39" s="12" t="n">
        <v>1.5</v>
      </c>
    </row>
    <row r="40">
      <c r="A40" s="5" t="inlineStr">
        <is>
          <t>Alto / largo (m)</t>
        </is>
      </c>
      <c r="B40" s="12" t="n">
        <v>0.9</v>
      </c>
    </row>
    <row r="41">
      <c r="A41" s="5" t="inlineStr">
        <is>
          <t>Marca y espesor</t>
        </is>
      </c>
      <c r="B41" s="13" t="inlineStr">
        <is>
          <t>Paolo 9mm</t>
        </is>
      </c>
    </row>
    <row r="42">
      <c r="A42" s="5" t="inlineStr">
        <is>
          <t>Margen deseado (%) — vacío = usar el sugerido</t>
        </is>
      </c>
      <c r="B42" s="7" t="n"/>
    </row>
    <row r="44">
      <c r="A44" s="4" t="inlineStr">
        <is>
          <t>RESULTADOS</t>
        </is>
      </c>
    </row>
    <row r="45">
      <c r="A45" s="5" t="inlineStr">
        <is>
          <t>Área (m²)</t>
        </is>
      </c>
      <c r="B45" s="14">
        <f>B39*B40</f>
        <v/>
      </c>
    </row>
    <row r="46">
      <c r="A46" s="5" t="inlineStr">
        <is>
          <t>Costo por m² (S/)</t>
        </is>
      </c>
      <c r="B46" s="15">
        <f>INDEX('Datos Base'!$C$39:$C$40,MATCH(B41,'Datos Base'!$F$39:$F$40,0))</f>
        <v/>
      </c>
    </row>
    <row r="47">
      <c r="A47" s="5" t="inlineStr">
        <is>
          <t>Costo total (S/)</t>
        </is>
      </c>
      <c r="B47" s="15">
        <f>B45*B46</f>
        <v/>
      </c>
    </row>
    <row r="48">
      <c r="A48" s="5" t="inlineStr">
        <is>
          <t>Margen aplicado (%)</t>
        </is>
      </c>
      <c r="B48" s="16">
        <f>IF(B42&lt;&gt;"",B42,INDEX('Datos Base'!$D$39:$D$40,MATCH(B41,'Datos Base'!$F$39:$F$40,0)))</f>
        <v/>
      </c>
    </row>
    <row r="49">
      <c r="A49" s="4" t="inlineStr">
        <is>
          <t>PRECIO SUGERIDO (S/)</t>
        </is>
      </c>
      <c r="B49" s="17">
        <f>ROUND(B47/(1-B48),2)</f>
        <v/>
      </c>
    </row>
  </sheetData>
  <mergeCells count="5">
    <mergeCell ref="A38:F38"/>
    <mergeCell ref="A2:F2"/>
    <mergeCell ref="A1:F1"/>
    <mergeCell ref="A23:F23"/>
    <mergeCell ref="A4:F4"/>
  </mergeCells>
  <dataValidations count="4">
    <dataValidation sqref="B7" showDropDown="0" showInputMessage="0" showErrorMessage="0" allowBlank="0" type="list">
      <formula1>"Confort Mat 14-15mm,Multilop 12mm,Multilop 15mm,Paolo 12mm,Paolo 15mm,Q Rubber 13-14mm"</formula1>
    </dataValidation>
    <dataValidation sqref="B8" showDropDown="0" showInputMessage="0" showErrorMessage="0" allowBlank="0" type="list">
      <formula1>"Sí,No"</formula1>
    </dataValidation>
    <dataValidation sqref="B9" showDropDown="0" showInputMessage="0" showErrorMessage="0" allowBlank="1" type="list">
      <formula1>"Simple,Media,Compleja"</formula1>
    </dataValidation>
    <dataValidation sqref="B41" showDropDown="0" showInputMessage="0" showErrorMessage="0" allowBlank="1" type="list">
      <formula1>"Paolo 9mm,Q Rubber 13mm"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 ht="22" customHeight="1">
      <c r="A1" s="1" t="inlineStr">
        <is>
          <t>NOTAS Y SUPUESTOS</t>
        </is>
      </c>
    </row>
    <row r="4" ht="30" customHeight="1">
      <c r="A4" s="18" t="inlineStr">
        <is>
          <t>FUENTE: 3 fotos de notas de costeo manuscritas compartidas por el usuario el 2026-07-21 (Felpudos Mixtos / Piso Antifatiga, Felpudo Vinilo con Logo, Felpudo Vinilo en Rollos). Las fotos no quedaron guardadas como archivo en este repo (se compartieron pegadas en el chat, no como adjunto).</t>
        </is>
      </c>
    </row>
    <row r="6" ht="16" customHeight="1">
      <c r="A6" s="18" t="inlineStr">
        <is>
          <t>CAMBIOS EN ESTA VERSIÓN (v2)</t>
        </is>
      </c>
    </row>
    <row r="7" ht="30" customHeight="1">
      <c r="A7" s="18" t="inlineStr">
        <is>
          <t>1. La marca y espesor de la base ahora se elige SIEMPRE (con o sin logo), no solo cuando no lleva logo. Se unificó una sola tabla de materiales en S//m², convirtiendo los precios de rollo (S//m lineal) a S//m² dividiendo entre el ancho fijo del rollo (1.20 m) — supuesto a validar: asume que cortar un ancho menor al del rollo completo cuesta proporcionalmente lo mismo por m².</t>
        </is>
      </c>
    </row>
    <row r="8" ht="30" customHeight="1">
      <c r="A8" s="18" t="inlineStr">
        <is>
          <t>2. Se agregó 'Complejidad del logo' (Simple / Media / Compleja) como factor independiente del tamaño, con multiplicadores propios sobre costo de material extra y mano de obra. Solo el nivel 'Media' está calibrado con datos reales (los 4 ejemplos manuscritos). Simple y Compleja son ESTIMACIONES (marcadas en ámbar en 'Datos Base', sección 1b) — deben ajustarse en cuanto haya ejemplos reales de logos simples vs. complejos.</t>
        </is>
      </c>
    </row>
    <row r="10" ht="16" customHeight="1">
      <c r="A10" s="18" t="inlineStr">
        <is>
          <t>CÓMO SE DERIVARON LAS FÓRMULAS ORIGINALES (nivel 'Media')</t>
        </is>
      </c>
    </row>
    <row r="11" ht="30" customHeight="1">
      <c r="A11" s="18" t="inlineStr">
        <is>
          <t>Los valores base se obtuvieron por ingeniería inversa de los 4 (con logo) y 3 (mixtos) ejemplos manuscritos, ajustando una relación lineal (Costo = fijo + variable × área). El ajuste coincide casi exacto con los ejemplos de 'con logo' (diferencias de centavos por redondeo manual). En 'mixtos' el ajuste es un poco menos preciso (solo 3 puntos de datos).</t>
        </is>
      </c>
    </row>
    <row r="13" ht="16" customHeight="1">
      <c r="A13" s="19" t="inlineStr">
        <is>
          <t>OTROS SUPUESTOS A VALIDAR CON EL USUARIO</t>
        </is>
      </c>
    </row>
    <row r="14" ht="30" customHeight="1">
      <c r="A14" s="18" t="inlineStr">
        <is>
          <t>3. Longitud extra (ribete) en 'con logo': se asumió 0.20 m para áreas menores a 1.00 m² y 0.30 m para el resto. No está confirmado si la regla real depende del área, del tamaño del logo, o de la complejidad — con más ejemplos se podría fusionar este concepto con el factor de complejidad.</t>
        </is>
      </c>
    </row>
    <row r="15" ht="30" customHeight="1">
      <c r="A15" s="18" t="inlineStr">
        <is>
          <t>4. Ajuste fijo de acabado ('tapiz'): varía entre S/23 y S/25 en las notas originales. Se usó S/25 como estándar, sin ligarlo a la complejidad — confirmar si debería variar por complejidad también.</t>
        </is>
      </c>
    </row>
    <row r="16" ht="30" customHeight="1">
      <c r="A16" s="18" t="inlineStr">
        <is>
          <t>5. Paolo 15mm: en la sección de COSTOS de la foto 3 aparece como S/90.00, pero el cálculo de VENTA (S/158.00) solo cuadra si el costo es S/95.00. Se usó S/95.00 — confirmar cuál es correcto.</t>
        </is>
      </c>
    </row>
    <row r="17" ht="30" customHeight="1">
      <c r="A17" s="18" t="inlineStr">
        <is>
          <t>6. Mano de obra de 'Felpudos Mixtos': interpolada linealmente con solo 3 puntos de datos — es la fórmula menos confiable del archivo.</t>
        </is>
      </c>
    </row>
    <row r="18" ht="30" customHeight="1">
      <c r="A18" s="18" t="inlineStr">
        <is>
          <t>7. Piso Antifatiga: solo hay 1 ejemplo de precio por marca/espesor (a 1.50×0.90m) — no hay forma de confirmar si el costo por m² escala igual a otros tamaños.</t>
        </is>
      </c>
    </row>
    <row r="20" ht="16" customHeight="1">
      <c r="A20" s="19" t="inlineStr">
        <is>
          <t>CÓMO USAR EL COTIZADOR</t>
        </is>
      </c>
    </row>
    <row r="21" ht="30" customHeight="1">
      <c r="A21" s="18" t="inlineStr">
        <is>
          <t>En la pestaña 'Cotizador', llenar solo las celdas amarillas. El precio se recalcula solo. Si se actualiza algún costo real o se calibran los multiplicadores de complejidad, actualizarlo en 'Datos Base' y todo el cotizador se ajusta automáticamente.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2026-07-21T19:35:04Z</dcterms:created>
  <dcterms:modified xmlns:dcterms="http://purl.org/dc/terms/" xmlns:xsi="http://www.w3.org/2001/XMLSchema-instance" xsi:type="dcterms:W3CDTF">2026-07-21T19:35:04Z</dcterms:modified>
</cp:coreProperties>
</file>